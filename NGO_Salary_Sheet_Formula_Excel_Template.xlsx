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_Sheet" sheetId="1" state="visible" r:id="rId1"/>
    <sheet name="Bank_Advice_Letter" sheetId="2" state="visible" r:id="rId2"/>
    <sheet name="Individual_Pay_Slip" sheetId="3" state="visible" r:id="rId3"/>
    <sheet name="User_Guide_নির্দেশিক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1E3A8A"/>
      <sz val="12"/>
    </font>
    <font>
      <name val="Calibri"/>
      <b val="1"/>
      <color rgb="001E293B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i val="1"/>
      <sz val="9"/>
    </font>
    <font>
      <name val="Calibri"/>
      <sz val="10"/>
    </font>
    <font>
      <name val="Calibri"/>
      <b val="1"/>
      <color rgb="001E293B"/>
      <sz val="11"/>
    </font>
    <font>
      <name val="Calibri"/>
      <b val="1"/>
      <color rgb="00000000"/>
      <sz val="11"/>
    </font>
    <font>
      <name val="Calibri"/>
      <b val="1"/>
      <color rgb="0014532D"/>
      <sz val="11"/>
    </font>
    <font>
      <name val="Calibri"/>
      <b val="1"/>
      <color rgb="0014532D"/>
      <sz val="12"/>
    </font>
  </fonts>
  <fills count="11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 wrapText="1"/>
    </xf>
    <xf numFmtId="3" fontId="9" fillId="0" borderId="1" pivotButton="0" quotePrefix="0" xfId="0"/>
    <xf numFmtId="3" fontId="6" fillId="3" borderId="1" pivotButton="0" quotePrefix="0" xfId="0"/>
    <xf numFmtId="3" fontId="6" fillId="5" borderId="1" pivotButton="0" quotePrefix="0" xfId="0"/>
    <xf numFmtId="3" fontId="7" fillId="6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49" fontId="9" fillId="8" borderId="1" applyAlignment="1" pivotButton="0" quotePrefix="0" xfId="0">
      <alignment horizontal="center" vertical="center" wrapText="1"/>
    </xf>
    <xf numFmtId="3" fontId="9" fillId="8" borderId="1" pivotButton="0" quotePrefix="0" xfId="0"/>
    <xf numFmtId="0" fontId="10" fillId="9" borderId="2" applyAlignment="1" pivotButton="0" quotePrefix="0" xfId="0">
      <alignment horizontal="right" vertical="center"/>
    </xf>
    <xf numFmtId="0" fontId="0" fillId="9" borderId="2" pivotButton="0" quotePrefix="0" xfId="0"/>
    <xf numFmtId="3" fontId="11" fillId="9" borderId="2" pivotButton="0" quotePrefix="0" xfId="0"/>
    <xf numFmtId="3" fontId="11" fillId="3" borderId="2" pivotButton="0" quotePrefix="0" xfId="0"/>
    <xf numFmtId="3" fontId="11" fillId="5" borderId="2" pivotButton="0" quotePrefix="0" xfId="0"/>
    <xf numFmtId="3" fontId="12" fillId="6" borderId="2" pivotButton="0" quotePrefix="0" xfId="0"/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applyAlignment="1" pivotButton="0" quotePrefix="0" xfId="0">
      <alignment horizontal="center" vertical="center" wrapText="1"/>
    </xf>
    <xf numFmtId="3" fontId="6" fillId="0" borderId="1" pivotButton="0" quotePrefix="0" xfId="0"/>
    <xf numFmtId="0" fontId="6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3" fontId="6" fillId="3" borderId="0" pivotButton="0" quotePrefix="0" xfId="0"/>
    <xf numFmtId="3" fontId="6" fillId="5" borderId="0" pivotButton="0" quotePrefix="0" xfId="0"/>
    <xf numFmtId="0" fontId="13" fillId="0" borderId="2" applyAlignment="1" pivotButton="0" quotePrefix="0" xfId="0">
      <alignment horizontal="right" vertical="center"/>
    </xf>
    <xf numFmtId="3" fontId="1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28" customWidth="1" min="4" max="4"/>
    <col width="17" customWidth="1" min="5" max="5"/>
    <col width="16" customWidth="1" min="6" max="6"/>
    <col width="38" customWidth="1" min="7" max="7"/>
    <col width="21" customWidth="1" min="8" max="8"/>
    <col width="19" customWidth="1" min="9" max="9"/>
    <col width="15" customWidth="1" min="10" max="10"/>
    <col width="18" customWidth="1" min="11" max="11"/>
    <col width="17" customWidth="1" min="12" max="12"/>
    <col width="28" customWidth="1" min="13" max="13"/>
    <col width="18" customWidth="1" min="14" max="14"/>
    <col width="27" customWidth="1" min="15" max="15"/>
    <col width="33" customWidth="1" min="16" max="16"/>
    <col width="15" customWidth="1" min="17" max="17"/>
    <col width="17" customWidth="1" min="18" max="18"/>
    <col width="17" customWidth="1" min="19" max="19"/>
    <col width="38" customWidth="1" min="20" max="20"/>
    <col width="20" customWidth="1" min="21" max="21"/>
  </cols>
  <sheetData>
    <row r="1">
      <c r="A1" s="1" t="inlineStr">
        <is>
          <t>আশা ও আলো সমাজকল্যাণ সংস্থা (Asha &amp; Alo Development Society)</t>
        </is>
      </c>
    </row>
    <row r="2">
      <c r="A2" s="2" t="inlineStr">
        <is>
          <t>প্রজেক্ট: সমন্বিত পল্লী উন্নয়ন ও সামাজিক ক্ষমতায়ন কর্মসূচি (ICDP) | ডোনার: PKSF / Global Fund</t>
        </is>
      </c>
    </row>
    <row r="3">
      <c r="A3" s="3" t="inlineStr">
        <is>
          <t>কর্মকর্তা ও কর্মচারীদের মাসিক বেতন ও ভাতা বিবরণী (Salary &amp; Allowance Sheet) - অক্টোবর ২০২৬</t>
        </is>
      </c>
    </row>
    <row r="4"/>
    <row r="5">
      <c r="A5" s="4" t="inlineStr">
        <is>
          <t>সাধারণ তথ্য (General Info)</t>
        </is>
      </c>
      <c r="B5" s="5" t="n"/>
      <c r="C5" s="5" t="n"/>
      <c r="D5" s="5" t="n"/>
      <c r="E5" s="5" t="n"/>
      <c r="F5" s="5" t="n"/>
      <c r="G5" s="6" t="inlineStr">
        <is>
          <t>বেতন ও ভাতা (Earnings &amp; Allowances)</t>
        </is>
      </c>
      <c r="H5" s="7" t="n"/>
      <c r="I5" s="7" t="n"/>
      <c r="J5" s="7" t="n"/>
      <c r="K5" s="7" t="n"/>
      <c r="L5" s="7" t="n"/>
      <c r="M5" s="8" t="inlineStr">
        <is>
          <t>হাজিরা ও LWP (Attendance)</t>
        </is>
      </c>
      <c r="N5" s="9" t="n"/>
      <c r="O5" s="9" t="n"/>
      <c r="P5" s="10" t="inlineStr">
        <is>
          <t>কর্তনসমূহ (Monthly Deductions)</t>
        </is>
      </c>
      <c r="Q5" s="11" t="n"/>
      <c r="R5" s="11" t="n"/>
      <c r="S5" s="11" t="n"/>
      <c r="T5" s="12" t="inlineStr">
        <is>
          <t>চূড়ান্ত প্রদেয় (Final Settlement)</t>
        </is>
      </c>
      <c r="U5" s="13" t="n"/>
    </row>
    <row r="6">
      <c r="A6" s="14" t="inlineStr">
        <is>
          <t>ক্রমিক
(SL)</t>
        </is>
      </c>
      <c r="B6" s="14" t="inlineStr">
        <is>
          <t>আইডি
(Emp ID)</t>
        </is>
      </c>
      <c r="C6" s="14" t="inlineStr">
        <is>
          <t>কর্মচারীর নাম
(Employee Name)</t>
        </is>
      </c>
      <c r="D6" s="14" t="inlineStr">
        <is>
          <t>পদবী
(Designation)</t>
        </is>
      </c>
      <c r="E6" s="14" t="inlineStr">
        <is>
          <t>প্রজেক্ট কোড
(Project Code)</t>
        </is>
      </c>
      <c r="F6" s="14" t="inlineStr">
        <is>
          <t>ব্যাংক একাউন্ট নং
(Bank A/C No)</t>
        </is>
      </c>
      <c r="G6" s="14" t="inlineStr">
        <is>
          <t>মূল বেতন
(Basic Salary)</t>
        </is>
      </c>
      <c r="H6" s="14" t="inlineStr">
        <is>
          <t>বাড়ি ভাড়া
(House Rent (50%))</t>
        </is>
      </c>
      <c r="I6" s="14" t="inlineStr">
        <is>
          <t>চিকিৎসা
(Medical Allow.)</t>
        </is>
      </c>
      <c r="J6" s="14" t="inlineStr">
        <is>
          <t>যাতায়াত
(Conveyance)</t>
        </is>
      </c>
      <c r="K6" s="14" t="inlineStr">
        <is>
          <t>মোবাইল/অন্যান্য
(Mobile/Other)</t>
        </is>
      </c>
      <c r="L6" s="14" t="inlineStr">
        <is>
          <t>মোট গ্রস বেতন
(Gross Salary)</t>
        </is>
      </c>
      <c r="M6" s="14" t="inlineStr">
        <is>
          <t>মোট দিন
(Total Days)</t>
        </is>
      </c>
      <c r="N6" s="14" t="inlineStr">
        <is>
          <t>বিনা বেতনে ছুটি
(LWP Days)</t>
        </is>
      </c>
      <c r="O6" s="14" t="inlineStr">
        <is>
          <t>LWP কর্তন
(LWP Deduct)</t>
        </is>
      </c>
      <c r="P6" s="14" t="inlineStr">
        <is>
          <t>প্রভিডেন্ট ফান্ড
(PF (10% Basic))</t>
        </is>
      </c>
      <c r="Q6" s="14" t="inlineStr">
        <is>
          <t>আয়কর (TDS)
(Income Tax)</t>
        </is>
      </c>
      <c r="R6" s="14" t="inlineStr">
        <is>
          <t>লোন/অগ্রিম
(Loan/Advance)</t>
        </is>
      </c>
      <c r="S6" s="14" t="inlineStr">
        <is>
          <t>মোট কর্তন
(Total Deduct)</t>
        </is>
      </c>
      <c r="T6" s="14" t="inlineStr">
        <is>
          <t>নিট প্রদেয় বেতন
(Net Payable)</t>
        </is>
      </c>
      <c r="U6" s="14" t="inlineStr">
        <is>
          <t>প্রাপকের স্বাক্ষর / নোট
(Signature)</t>
        </is>
      </c>
    </row>
    <row r="7">
      <c r="A7" s="15" t="n">
        <v>1</v>
      </c>
      <c r="B7" s="15" t="inlineStr">
        <is>
          <t>AA-101</t>
        </is>
      </c>
      <c r="C7" s="16" t="inlineStr">
        <is>
          <t>মোহাম্মদ রফিকুল ইসলাম</t>
        </is>
      </c>
      <c r="D7" s="16" t="inlineStr">
        <is>
          <t>প্রজেক্ট ম্যানেজার (PM)</t>
        </is>
      </c>
      <c r="E7" s="15" t="inlineStr">
        <is>
          <t>ICDP-01</t>
        </is>
      </c>
      <c r="F7" s="17" t="inlineStr">
        <is>
          <t>102345678901</t>
        </is>
      </c>
      <c r="G7" s="18" t="n">
        <v>45000</v>
      </c>
      <c r="H7" s="18">
        <f>ROUND(G7*0.5, 0)</f>
        <v/>
      </c>
      <c r="I7" s="18" t="n">
        <v>2000</v>
      </c>
      <c r="J7" s="18" t="n">
        <v>3000</v>
      </c>
      <c r="K7" s="18" t="n">
        <v>1500</v>
      </c>
      <c r="L7" s="19">
        <f>SUM(G7:K7)</f>
        <v/>
      </c>
      <c r="M7" s="15" t="n">
        <v>31</v>
      </c>
      <c r="N7" s="15" t="n">
        <v>0</v>
      </c>
      <c r="O7" s="18">
        <f>ROUND((L7/M7)*N7, 0)</f>
        <v/>
      </c>
      <c r="P7" s="18">
        <f>ROUND(G7*0.1, 0)</f>
        <v/>
      </c>
      <c r="Q7" s="18" t="n">
        <v>1200</v>
      </c>
      <c r="R7" s="18" t="n">
        <v>0</v>
      </c>
      <c r="S7" s="20">
        <f>SUM(O7:R7)</f>
        <v/>
      </c>
      <c r="T7" s="21">
        <f>L7-S7</f>
        <v/>
      </c>
      <c r="U7" s="15" t="inlineStr">
        <is>
          <t>Account Transfer</t>
        </is>
      </c>
    </row>
    <row r="8">
      <c r="A8" s="22" t="n">
        <v>2</v>
      </c>
      <c r="B8" s="22" t="inlineStr">
        <is>
          <t>AA-102</t>
        </is>
      </c>
      <c r="C8" s="23" t="inlineStr">
        <is>
          <t>ফারহানা আক্তার</t>
        </is>
      </c>
      <c r="D8" s="23" t="inlineStr">
        <is>
          <t>সিনিয়র হিসাব রক্ষক (Sr. Accountant)</t>
        </is>
      </c>
      <c r="E8" s="22" t="inlineStr">
        <is>
          <t>ICDP-01</t>
        </is>
      </c>
      <c r="F8" s="24" t="inlineStr">
        <is>
          <t>102345678902</t>
        </is>
      </c>
      <c r="G8" s="25" t="n">
        <v>32000</v>
      </c>
      <c r="H8" s="25">
        <f>ROUND(G8*0.5, 0)</f>
        <v/>
      </c>
      <c r="I8" s="25" t="n">
        <v>1800</v>
      </c>
      <c r="J8" s="25" t="n">
        <v>2000</v>
      </c>
      <c r="K8" s="25" t="n">
        <v>1000</v>
      </c>
      <c r="L8" s="19">
        <f>SUM(G8:K8)</f>
        <v/>
      </c>
      <c r="M8" s="22" t="n">
        <v>31</v>
      </c>
      <c r="N8" s="22" t="n">
        <v>0</v>
      </c>
      <c r="O8" s="25">
        <f>ROUND((L8/M8)*N8, 0)</f>
        <v/>
      </c>
      <c r="P8" s="25">
        <f>ROUND(G8*0.1, 0)</f>
        <v/>
      </c>
      <c r="Q8" s="25" t="n">
        <v>500</v>
      </c>
      <c r="R8" s="25" t="n">
        <v>0</v>
      </c>
      <c r="S8" s="20">
        <f>SUM(O8:R8)</f>
        <v/>
      </c>
      <c r="T8" s="21">
        <f>L8-S8</f>
        <v/>
      </c>
      <c r="U8" s="22" t="inlineStr">
        <is>
          <t>Account Transfer</t>
        </is>
      </c>
    </row>
    <row r="9">
      <c r="A9" s="15" t="n">
        <v>3</v>
      </c>
      <c r="B9" s="15" t="inlineStr">
        <is>
          <t>AA-103</t>
        </is>
      </c>
      <c r="C9" s="16" t="inlineStr">
        <is>
          <t>তানভীর আহমেদ</t>
        </is>
      </c>
      <c r="D9" s="16" t="inlineStr">
        <is>
          <t>মনিটরিং অফিসার (M&amp;E)</t>
        </is>
      </c>
      <c r="E9" s="15" t="inlineStr">
        <is>
          <t>ICDP-02</t>
        </is>
      </c>
      <c r="F9" s="17" t="inlineStr">
        <is>
          <t>102345678903</t>
        </is>
      </c>
      <c r="G9" s="18" t="n">
        <v>28000</v>
      </c>
      <c r="H9" s="18">
        <f>ROUND(G9*0.5, 0)</f>
        <v/>
      </c>
      <c r="I9" s="18" t="n">
        <v>1500</v>
      </c>
      <c r="J9" s="18" t="n">
        <v>2500</v>
      </c>
      <c r="K9" s="18" t="n">
        <v>1000</v>
      </c>
      <c r="L9" s="19">
        <f>SUM(G9:K9)</f>
        <v/>
      </c>
      <c r="M9" s="15" t="n">
        <v>31</v>
      </c>
      <c r="N9" s="15" t="n">
        <v>1</v>
      </c>
      <c r="O9" s="18">
        <f>ROUND((L9/M9)*N9, 0)</f>
        <v/>
      </c>
      <c r="P9" s="18">
        <f>ROUND(G9*0.1, 0)</f>
        <v/>
      </c>
      <c r="Q9" s="18" t="n">
        <v>0</v>
      </c>
      <c r="R9" s="18" t="n">
        <v>2000</v>
      </c>
      <c r="S9" s="20">
        <f>SUM(O9:R9)</f>
        <v/>
      </c>
      <c r="T9" s="21">
        <f>L9-S9</f>
        <v/>
      </c>
      <c r="U9" s="15" t="inlineStr">
        <is>
          <t>Account Transfer</t>
        </is>
      </c>
    </row>
    <row r="10">
      <c r="A10" s="22" t="n">
        <v>4</v>
      </c>
      <c r="B10" s="22" t="inlineStr">
        <is>
          <t>AA-104</t>
        </is>
      </c>
      <c r="C10" s="23" t="inlineStr">
        <is>
          <t>নাসরিন সুলতানা</t>
        </is>
      </c>
      <c r="D10" s="23" t="inlineStr">
        <is>
          <t>হিসাব সহকারী (Accounts Assistant)</t>
        </is>
      </c>
      <c r="E10" s="22" t="inlineStr">
        <is>
          <t>ICDP-01</t>
        </is>
      </c>
      <c r="F10" s="24" t="inlineStr">
        <is>
          <t>102345678904</t>
        </is>
      </c>
      <c r="G10" s="25" t="n">
        <v>22000</v>
      </c>
      <c r="H10" s="25">
        <f>ROUND(G10*0.5, 0)</f>
        <v/>
      </c>
      <c r="I10" s="25" t="n">
        <v>1500</v>
      </c>
      <c r="J10" s="25" t="n">
        <v>1500</v>
      </c>
      <c r="K10" s="25" t="n">
        <v>800</v>
      </c>
      <c r="L10" s="19">
        <f>SUM(G10:K10)</f>
        <v/>
      </c>
      <c r="M10" s="22" t="n">
        <v>31</v>
      </c>
      <c r="N10" s="22" t="n">
        <v>0</v>
      </c>
      <c r="O10" s="25">
        <f>ROUND((L10/M10)*N10, 0)</f>
        <v/>
      </c>
      <c r="P10" s="25">
        <f>ROUND(G10*0.1, 0)</f>
        <v/>
      </c>
      <c r="Q10" s="25" t="n">
        <v>0</v>
      </c>
      <c r="R10" s="25" t="n">
        <v>0</v>
      </c>
      <c r="S10" s="20">
        <f>SUM(O10:R10)</f>
        <v/>
      </c>
      <c r="T10" s="21">
        <f>L10-S10</f>
        <v/>
      </c>
      <c r="U10" s="22" t="inlineStr">
        <is>
          <t>Account Transfer</t>
        </is>
      </c>
    </row>
    <row r="11">
      <c r="A11" s="15" t="n">
        <v>5</v>
      </c>
      <c r="B11" s="15" t="inlineStr">
        <is>
          <t>AA-105</t>
        </is>
      </c>
      <c r="C11" s="16" t="inlineStr">
        <is>
          <t>কামরুল হাসান</t>
        </is>
      </c>
      <c r="D11" s="16" t="inlineStr">
        <is>
          <t>ফিল্ড কো-অর্ডিনেটর</t>
        </is>
      </c>
      <c r="E11" s="15" t="inlineStr">
        <is>
          <t>ICDP-02</t>
        </is>
      </c>
      <c r="F11" s="17" t="inlineStr">
        <is>
          <t>102345678905</t>
        </is>
      </c>
      <c r="G11" s="18" t="n">
        <v>25000</v>
      </c>
      <c r="H11" s="18">
        <f>ROUND(G11*0.5, 0)</f>
        <v/>
      </c>
      <c r="I11" s="18" t="n">
        <v>1500</v>
      </c>
      <c r="J11" s="18" t="n">
        <v>3000</v>
      </c>
      <c r="K11" s="18" t="n">
        <v>800</v>
      </c>
      <c r="L11" s="19">
        <f>SUM(G11:K11)</f>
        <v/>
      </c>
      <c r="M11" s="15" t="n">
        <v>31</v>
      </c>
      <c r="N11" s="15" t="n">
        <v>2</v>
      </c>
      <c r="O11" s="18">
        <f>ROUND((L11/M11)*N11, 0)</f>
        <v/>
      </c>
      <c r="P11" s="18">
        <f>ROUND(G11*0.1, 0)</f>
        <v/>
      </c>
      <c r="Q11" s="18" t="n">
        <v>0</v>
      </c>
      <c r="R11" s="18" t="n">
        <v>1500</v>
      </c>
      <c r="S11" s="20">
        <f>SUM(O11:R11)</f>
        <v/>
      </c>
      <c r="T11" s="21">
        <f>L11-S11</f>
        <v/>
      </c>
      <c r="U11" s="15" t="inlineStr">
        <is>
          <t>Account Transfer</t>
        </is>
      </c>
    </row>
    <row r="12">
      <c r="A12" s="22" t="n">
        <v>6</v>
      </c>
      <c r="B12" s="22" t="inlineStr">
        <is>
          <t>AA-106</t>
        </is>
      </c>
      <c r="C12" s="23" t="inlineStr">
        <is>
          <t>সুলতানা রাজিয়া</t>
        </is>
      </c>
      <c r="D12" s="23" t="inlineStr">
        <is>
          <t>কমিউনিটি অর্গানাইজার (CO)</t>
        </is>
      </c>
      <c r="E12" s="22" t="inlineStr">
        <is>
          <t>ICDP-02</t>
        </is>
      </c>
      <c r="F12" s="24" t="inlineStr">
        <is>
          <t>102345678906</t>
        </is>
      </c>
      <c r="G12" s="25" t="n">
        <v>18000</v>
      </c>
      <c r="H12" s="25">
        <f>ROUND(G12*0.5, 0)</f>
        <v/>
      </c>
      <c r="I12" s="25" t="n">
        <v>1200</v>
      </c>
      <c r="J12" s="25" t="n">
        <v>1500</v>
      </c>
      <c r="K12" s="25" t="n">
        <v>500</v>
      </c>
      <c r="L12" s="19">
        <f>SUM(G12:K12)</f>
        <v/>
      </c>
      <c r="M12" s="22" t="n">
        <v>31</v>
      </c>
      <c r="N12" s="22" t="n">
        <v>0</v>
      </c>
      <c r="O12" s="25">
        <f>ROUND((L12/M12)*N12, 0)</f>
        <v/>
      </c>
      <c r="P12" s="25">
        <f>ROUND(G12*0.1, 0)</f>
        <v/>
      </c>
      <c r="Q12" s="25" t="n">
        <v>0</v>
      </c>
      <c r="R12" s="25" t="n">
        <v>0</v>
      </c>
      <c r="S12" s="20">
        <f>SUM(O12:R12)</f>
        <v/>
      </c>
      <c r="T12" s="21">
        <f>L12-S12</f>
        <v/>
      </c>
      <c r="U12" s="22" t="inlineStr">
        <is>
          <t>Account Transfer</t>
        </is>
      </c>
    </row>
    <row r="13">
      <c r="A13" s="15" t="n">
        <v>7</v>
      </c>
      <c r="B13" s="15" t="inlineStr">
        <is>
          <t>AA-107</t>
        </is>
      </c>
      <c r="C13" s="16" t="inlineStr">
        <is>
          <t>আব্দুল কাদের</t>
        </is>
      </c>
      <c r="D13" s="16" t="inlineStr">
        <is>
          <t>মাঠ কর্মকর্তা (Credit Officer)</t>
        </is>
      </c>
      <c r="E13" s="15" t="inlineStr">
        <is>
          <t>ICDP-03</t>
        </is>
      </c>
      <c r="F13" s="17" t="inlineStr">
        <is>
          <t>102345678907</t>
        </is>
      </c>
      <c r="G13" s="18" t="n">
        <v>19000</v>
      </c>
      <c r="H13" s="18">
        <f>ROUND(G13*0.5, 0)</f>
        <v/>
      </c>
      <c r="I13" s="18" t="n">
        <v>1200</v>
      </c>
      <c r="J13" s="18" t="n">
        <v>2000</v>
      </c>
      <c r="K13" s="18" t="n">
        <v>500</v>
      </c>
      <c r="L13" s="19">
        <f>SUM(G13:K13)</f>
        <v/>
      </c>
      <c r="M13" s="15" t="n">
        <v>31</v>
      </c>
      <c r="N13" s="15" t="n">
        <v>0</v>
      </c>
      <c r="O13" s="18">
        <f>ROUND((L13/M13)*N13, 0)</f>
        <v/>
      </c>
      <c r="P13" s="18">
        <f>ROUND(G13*0.1, 0)</f>
        <v/>
      </c>
      <c r="Q13" s="18" t="n">
        <v>0</v>
      </c>
      <c r="R13" s="18" t="n">
        <v>1000</v>
      </c>
      <c r="S13" s="20">
        <f>SUM(O13:R13)</f>
        <v/>
      </c>
      <c r="T13" s="21">
        <f>L13-S13</f>
        <v/>
      </c>
      <c r="U13" s="15" t="inlineStr">
        <is>
          <t>Account Transfer</t>
        </is>
      </c>
    </row>
    <row r="14">
      <c r="A14" s="22" t="n">
        <v>8</v>
      </c>
      <c r="B14" s="22" t="inlineStr">
        <is>
          <t>AA-108</t>
        </is>
      </c>
      <c r="C14" s="23" t="inlineStr">
        <is>
          <t>সোহেল রানা</t>
        </is>
      </c>
      <c r="D14" s="23" t="inlineStr">
        <is>
          <t>অফিস সহকারী ও সাপোর্ট স্টাফ</t>
        </is>
      </c>
      <c r="E14" s="22" t="inlineStr">
        <is>
          <t>ICDP-01</t>
        </is>
      </c>
      <c r="F14" s="24" t="inlineStr">
        <is>
          <t>102345678908</t>
        </is>
      </c>
      <c r="G14" s="25" t="n">
        <v>14000</v>
      </c>
      <c r="H14" s="25">
        <f>ROUND(G14*0.5, 0)</f>
        <v/>
      </c>
      <c r="I14" s="25" t="n">
        <v>1000</v>
      </c>
      <c r="J14" s="25" t="n">
        <v>1000</v>
      </c>
      <c r="K14" s="25" t="n">
        <v>300</v>
      </c>
      <c r="L14" s="19">
        <f>SUM(G14:K14)</f>
        <v/>
      </c>
      <c r="M14" s="22" t="n">
        <v>31</v>
      </c>
      <c r="N14" s="22" t="n">
        <v>0</v>
      </c>
      <c r="O14" s="25">
        <f>ROUND((L14/M14)*N14, 0)</f>
        <v/>
      </c>
      <c r="P14" s="25">
        <f>ROUND(G14*0.1, 0)</f>
        <v/>
      </c>
      <c r="Q14" s="25" t="n">
        <v>0</v>
      </c>
      <c r="R14" s="25" t="n">
        <v>0</v>
      </c>
      <c r="S14" s="20">
        <f>SUM(O14:R14)</f>
        <v/>
      </c>
      <c r="T14" s="21">
        <f>L14-S14</f>
        <v/>
      </c>
      <c r="U14" s="22" t="inlineStr">
        <is>
          <t>Account Transfer</t>
        </is>
      </c>
    </row>
    <row r="15">
      <c r="A15" s="26" t="inlineStr">
        <is>
          <t>সর্বমোট (Grand Total):</t>
        </is>
      </c>
      <c r="B15" s="27" t="n"/>
      <c r="C15" s="27" t="n"/>
      <c r="D15" s="27" t="n"/>
      <c r="E15" s="27" t="n"/>
      <c r="F15" s="27" t="n"/>
      <c r="G15" s="28">
        <f>SUM(G7:G14)</f>
        <v/>
      </c>
      <c r="H15" s="28">
        <f>SUM(H7:H14)</f>
        <v/>
      </c>
      <c r="I15" s="28">
        <f>SUM(I7:I14)</f>
        <v/>
      </c>
      <c r="J15" s="28">
        <f>SUM(J7:J14)</f>
        <v/>
      </c>
      <c r="K15" s="28">
        <f>SUM(K7:K14)</f>
        <v/>
      </c>
      <c r="L15" s="29">
        <f>SUM(L7:L14)</f>
        <v/>
      </c>
      <c r="M15" s="27" t="n"/>
      <c r="N15" s="27" t="n"/>
      <c r="O15" s="28">
        <f>SUM(O7:O14)</f>
        <v/>
      </c>
      <c r="P15" s="28">
        <f>SUM(P7:P14)</f>
        <v/>
      </c>
      <c r="Q15" s="28">
        <f>SUM(Q7:Q14)</f>
        <v/>
      </c>
      <c r="R15" s="28">
        <f>SUM(R7:R14)</f>
        <v/>
      </c>
      <c r="S15" s="30">
        <f>SUM(S7:S14)</f>
        <v/>
      </c>
      <c r="T15" s="31">
        <f>SUM(T7:T14)</f>
        <v/>
      </c>
      <c r="U15" s="27" t="n"/>
    </row>
    <row r="16"/>
    <row r="17"/>
    <row r="18"/>
    <row r="19">
      <c r="B19" s="32" t="inlineStr">
        <is>
          <t>----------------------------------</t>
        </is>
      </c>
      <c r="H19" s="32" t="inlineStr">
        <is>
          <t>----------------------------------</t>
        </is>
      </c>
      <c r="N19" s="32" t="inlineStr">
        <is>
          <t>----------------------------------</t>
        </is>
      </c>
      <c r="T19" s="32" t="inlineStr">
        <is>
          <t>----------------------------------</t>
        </is>
      </c>
    </row>
    <row r="20">
      <c r="B20" s="33" t="inlineStr">
        <is>
          <t>প্রস্তুতকারী (Prepared By)
হিসাব রক্ষক (Accounts Officer)</t>
        </is>
      </c>
      <c r="H20" s="33" t="inlineStr">
        <is>
          <t>নিরীক্ষাকারী (Checked By)
ইন্টারনাল অডিটর (Auditor)</t>
        </is>
      </c>
      <c r="N20" s="33" t="inlineStr">
        <is>
          <t>যাচাইকারী (Verified By)
প্রজেক্ট ম্যানেজার (Project Manager)</t>
        </is>
      </c>
      <c r="T20" s="33" t="inlineStr">
        <is>
          <t>অনুমোদনকারী (Approved By)
নির্বাহী পরিচালক (Executive Director)</t>
        </is>
      </c>
    </row>
  </sheetData>
  <mergeCells count="9">
    <mergeCell ref="P5:S5"/>
    <mergeCell ref="G5:L5"/>
    <mergeCell ref="A2:U2"/>
    <mergeCell ref="A5:F5"/>
    <mergeCell ref="M5:O5"/>
    <mergeCell ref="T5:U5"/>
    <mergeCell ref="A1:U1"/>
    <mergeCell ref="A15:F15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2" customWidth="1" min="4" max="4"/>
    <col width="22" customWidth="1" min="5" max="5"/>
  </cols>
  <sheetData>
    <row r="1">
      <c r="A1" s="34" t="inlineStr">
        <is>
          <t>আশা ও আলো সমাজকল্যাণ সংস্থা</t>
        </is>
      </c>
    </row>
    <row r="2">
      <c r="A2" s="35" t="inlineStr">
        <is>
          <t>প্রধান কার্যালয়, বাড়ি # ১২, রোড # ৪, ধানমন্ডি, ঢাকা-১২০৫</t>
        </is>
      </c>
    </row>
    <row r="4">
      <c r="A4" s="36" t="inlineStr">
        <is>
          <t>তারিখ: ৩১ অক্টোবর ২০২৬</t>
        </is>
      </c>
    </row>
    <row r="6">
      <c r="A6" t="inlineStr">
        <is>
          <t>বরাবর,</t>
        </is>
      </c>
    </row>
    <row r="7">
      <c r="A7" t="inlineStr">
        <is>
          <t>শাখা ব্যবস্থাপক (Branch Manager)</t>
        </is>
      </c>
    </row>
    <row r="8">
      <c r="A8" t="inlineStr">
        <is>
          <t>ডাচ-বাংলা ব্যাংক পিএলসি (Dutch-Bangla Bank PLC)</t>
        </is>
      </c>
    </row>
    <row r="9">
      <c r="A9" t="inlineStr">
        <is>
          <t>ধানমন্ডি শাখা, ঢাকা।</t>
        </is>
      </c>
    </row>
    <row r="11">
      <c r="A11" s="37" t="inlineStr">
        <is>
          <t>বিষয়: অক্টোবর ২০২৬ মাসের কর্মকর্তা ও কর্মচারীদের বেতন ব্যাংক অ্যাকাউন্টে স্থানান্তর প্রসঙ্গে।</t>
        </is>
      </c>
    </row>
    <row r="13">
      <c r="A13" t="inlineStr">
        <is>
          <t>জনাব,</t>
        </is>
      </c>
    </row>
    <row r="14">
      <c r="A14" t="inlineStr">
        <is>
          <t>সবিনয় নিবেদন এই যে, আমাদের সংস্থার 'সমন্বিত পল্লী উন্নয়ন কর্মসূচি (ICDP)'-এর চলতি হিসাব নং: 1021200045678 থেকে সংযুক্ত তালিকা অনুযায়ী কর্মকর্তা-কর্মচারীদের ব্যক্তিগত ব্যাংক অ্যাকাউন্টে তাদের নামের পার্শ্বে বর্ণিত নিট বেতনের টাকা স্থানান্তর (Fund Transfer) করার জন্য অনুরোধ জানাচ্ছি।</t>
        </is>
      </c>
    </row>
    <row r="15">
      <c r="A15" s="36" t="inlineStr">
        <is>
          <t>মোট বেতনের পরিমাণ: =Salary_Sheet!T15 টাকা (কথায়: ব্যাংক হিসাব বিবরণী অনুযায়ী)।</t>
        </is>
      </c>
    </row>
    <row r="17">
      <c r="A17" s="14" t="inlineStr">
        <is>
          <t>ক্রমিক</t>
        </is>
      </c>
      <c r="B17" s="14" t="inlineStr">
        <is>
          <t>কর্মচারীর নাম</t>
        </is>
      </c>
      <c r="C17" s="14" t="inlineStr">
        <is>
          <t>পদবী</t>
        </is>
      </c>
      <c r="D17" s="14" t="inlineStr">
        <is>
          <t>ব্যাংক একাউন্ট নম্বর</t>
        </is>
      </c>
      <c r="E17" s="14" t="inlineStr">
        <is>
          <t>প্রদেয় নিট বেতন (টাকা)</t>
        </is>
      </c>
    </row>
    <row r="18">
      <c r="A18" s="38" t="n">
        <v>1</v>
      </c>
      <c r="B18" s="39">
        <f>Salary_Sheet!C7</f>
        <v/>
      </c>
      <c r="C18" s="39">
        <f>Salary_Sheet!D7</f>
        <v/>
      </c>
      <c r="D18" s="40">
        <f>Salary_Sheet!F7</f>
        <v/>
      </c>
      <c r="E18" s="41">
        <f>Salary_Sheet!T7</f>
        <v/>
      </c>
    </row>
    <row r="19">
      <c r="A19" s="38" t="n">
        <v>2</v>
      </c>
      <c r="B19" s="39">
        <f>Salary_Sheet!C8</f>
        <v/>
      </c>
      <c r="C19" s="39">
        <f>Salary_Sheet!D8</f>
        <v/>
      </c>
      <c r="D19" s="40">
        <f>Salary_Sheet!F8</f>
        <v/>
      </c>
      <c r="E19" s="41">
        <f>Salary_Sheet!T8</f>
        <v/>
      </c>
    </row>
    <row r="20">
      <c r="A20" s="38" t="n">
        <v>3</v>
      </c>
      <c r="B20" s="39">
        <f>Salary_Sheet!C9</f>
        <v/>
      </c>
      <c r="C20" s="39">
        <f>Salary_Sheet!D9</f>
        <v/>
      </c>
      <c r="D20" s="40">
        <f>Salary_Sheet!F9</f>
        <v/>
      </c>
      <c r="E20" s="41">
        <f>Salary_Sheet!T9</f>
        <v/>
      </c>
    </row>
    <row r="21">
      <c r="A21" s="38" t="n">
        <v>4</v>
      </c>
      <c r="B21" s="39">
        <f>Salary_Sheet!C10</f>
        <v/>
      </c>
      <c r="C21" s="39">
        <f>Salary_Sheet!D10</f>
        <v/>
      </c>
      <c r="D21" s="40">
        <f>Salary_Sheet!F10</f>
        <v/>
      </c>
      <c r="E21" s="41">
        <f>Salary_Sheet!T10</f>
        <v/>
      </c>
    </row>
    <row r="22">
      <c r="A22" s="38" t="n">
        <v>5</v>
      </c>
      <c r="B22" s="39">
        <f>Salary_Sheet!C11</f>
        <v/>
      </c>
      <c r="C22" s="39">
        <f>Salary_Sheet!D11</f>
        <v/>
      </c>
      <c r="D22" s="40">
        <f>Salary_Sheet!F11</f>
        <v/>
      </c>
      <c r="E22" s="41">
        <f>Salary_Sheet!T11</f>
        <v/>
      </c>
    </row>
    <row r="23">
      <c r="A23" s="38" t="n">
        <v>6</v>
      </c>
      <c r="B23" s="39">
        <f>Salary_Sheet!C12</f>
        <v/>
      </c>
      <c r="C23" s="39">
        <f>Salary_Sheet!D12</f>
        <v/>
      </c>
      <c r="D23" s="40">
        <f>Salary_Sheet!F12</f>
        <v/>
      </c>
      <c r="E23" s="41">
        <f>Salary_Sheet!T12</f>
        <v/>
      </c>
    </row>
    <row r="24">
      <c r="A24" s="38" t="n">
        <v>7</v>
      </c>
      <c r="B24" s="39">
        <f>Salary_Sheet!C13</f>
        <v/>
      </c>
      <c r="C24" s="39">
        <f>Salary_Sheet!D13</f>
        <v/>
      </c>
      <c r="D24" s="40">
        <f>Salary_Sheet!F13</f>
        <v/>
      </c>
      <c r="E24" s="41">
        <f>Salary_Sheet!T13</f>
        <v/>
      </c>
    </row>
    <row r="25">
      <c r="A25" s="38" t="n">
        <v>8</v>
      </c>
      <c r="B25" s="39">
        <f>Salary_Sheet!C14</f>
        <v/>
      </c>
      <c r="C25" s="39">
        <f>Salary_Sheet!D14</f>
        <v/>
      </c>
      <c r="D25" s="40">
        <f>Salary_Sheet!F14</f>
        <v/>
      </c>
      <c r="E25" s="41">
        <f>Salary_Sheet!T14</f>
        <v/>
      </c>
    </row>
    <row r="26">
      <c r="A26" s="42" t="inlineStr">
        <is>
          <t>সর্বমোট স্থানান্তর:</t>
        </is>
      </c>
      <c r="B26" s="43" t="n"/>
      <c r="C26" s="43" t="n"/>
      <c r="D26" s="43" t="n"/>
      <c r="E26" s="31">
        <f>SUM(E18:E25)</f>
        <v/>
      </c>
    </row>
    <row r="30">
      <c r="A30" t="inlineStr">
        <is>
          <t>ধন্যবাদান্তে,</t>
        </is>
      </c>
    </row>
    <row r="33">
      <c r="A33" t="inlineStr">
        <is>
          <t>-------------------------------
(স্বাক্ষর ও সিল)
প্রধান হিসাব কর্মকর্তা</t>
        </is>
      </c>
      <c r="D33" t="inlineStr">
        <is>
          <t>-------------------------------
(স্বাক্ষর ও সিল)
নির্বাহী পরিচালক</t>
        </is>
      </c>
    </row>
  </sheetData>
  <mergeCells count="1"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24" customWidth="1" min="4" max="4"/>
    <col width="15" customWidth="1" min="5" max="5"/>
    <col width="16" customWidth="1" min="6" max="6"/>
  </cols>
  <sheetData>
    <row r="1">
      <c r="A1" s="44" t="inlineStr">
        <is>
          <t>আশা ও আলো সমাজকল্যাণ সংস্থা</t>
        </is>
      </c>
    </row>
    <row r="2">
      <c r="A2" s="45" t="inlineStr">
        <is>
          <t>মাসিক বেতন বিবরণী (Pay Slip) - অক্টোবর ২০২৬</t>
        </is>
      </c>
    </row>
    <row r="4">
      <c r="A4" s="36" t="inlineStr">
        <is>
          <t>স্টাফ আইডি:</t>
        </is>
      </c>
      <c r="B4" s="46">
        <f>Salary_Sheet!B7</f>
        <v/>
      </c>
      <c r="D4" s="36" t="inlineStr">
        <is>
          <t>প্রজেক্ট কোড:</t>
        </is>
      </c>
      <c r="E4" s="46">
        <f>Salary_Sheet!E7</f>
        <v/>
      </c>
    </row>
    <row r="5">
      <c r="A5" s="36" t="inlineStr">
        <is>
          <t>কর্মচারীর নাম:</t>
        </is>
      </c>
      <c r="B5" s="46">
        <f>Salary_Sheet!C7</f>
        <v/>
      </c>
      <c r="D5" s="36" t="inlineStr">
        <is>
          <t>ব্যাংক একাউন্ট:</t>
        </is>
      </c>
      <c r="E5" s="46">
        <f>Salary_Sheet!F7</f>
        <v/>
      </c>
    </row>
    <row r="6">
      <c r="A6" s="36" t="inlineStr">
        <is>
          <t>পদবী:</t>
        </is>
      </c>
      <c r="B6" s="46">
        <f>Salary_Sheet!D7</f>
        <v/>
      </c>
      <c r="D6" s="36" t="inlineStr">
        <is>
          <t>মোট উপস্থিত দিন:</t>
        </is>
      </c>
      <c r="E6" s="46">
        <f>Salary_Sheet!M7 - Salary_Sheet!N7</f>
        <v/>
      </c>
    </row>
    <row r="8">
      <c r="A8" s="47" t="inlineStr">
        <is>
          <t>উপার্জনসমূহ (Earnings)</t>
        </is>
      </c>
      <c r="D8" s="48" t="inlineStr">
        <is>
          <t>কর্তনসমূহ (Deductions)</t>
        </is>
      </c>
    </row>
    <row r="9">
      <c r="A9" s="39" t="inlineStr">
        <is>
          <t>মূল বেতন (Basic Salary)</t>
        </is>
      </c>
      <c r="B9" s="39" t="n"/>
      <c r="C9" s="49">
        <f>Salary_Sheet!G7</f>
        <v/>
      </c>
      <c r="D9" s="39" t="inlineStr">
        <is>
          <t>প্রভিডেন্ট ফান্ড (PF 10%)</t>
        </is>
      </c>
      <c r="E9" s="39" t="n"/>
      <c r="F9" s="49">
        <f>Salary_Sheet!P7</f>
        <v/>
      </c>
    </row>
    <row r="10">
      <c r="A10" s="39" t="inlineStr">
        <is>
          <t>বাড়ি ভাড়া ভাতা (House Rent 50%)</t>
        </is>
      </c>
      <c r="B10" s="39" t="n"/>
      <c r="C10" s="49">
        <f>Salary_Sheet!H7</f>
        <v/>
      </c>
      <c r="D10" s="39" t="inlineStr">
        <is>
          <t>উৎস আয়কর (TDS / Income Tax)</t>
        </is>
      </c>
      <c r="E10" s="39" t="n"/>
      <c r="F10" s="49">
        <f>Salary_Sheet!Q7</f>
        <v/>
      </c>
    </row>
    <row r="11">
      <c r="A11" s="39" t="inlineStr">
        <is>
          <t>চিকিৎসা ভাতা (Medical Allowance)</t>
        </is>
      </c>
      <c r="B11" s="39" t="n"/>
      <c r="C11" s="49">
        <f>Salary_Sheet!I7</f>
        <v/>
      </c>
      <c r="D11" s="39" t="inlineStr">
        <is>
          <t>স্টাফ লোন / অগ্রিম কর্তন</t>
        </is>
      </c>
      <c r="E11" s="39" t="n"/>
      <c r="F11" s="49">
        <f>Salary_Sheet!R7</f>
        <v/>
      </c>
    </row>
    <row r="12">
      <c r="A12" s="39" t="inlineStr">
        <is>
          <t>যাতায়াত ভাতা (Conveyance)</t>
        </is>
      </c>
      <c r="B12" s="39" t="n"/>
      <c r="C12" s="49">
        <f>Salary_Sheet!J7</f>
        <v/>
      </c>
      <c r="D12" s="39" t="inlineStr">
        <is>
          <t>বিনা বেতনে ছুটি কর্তন (LWP)</t>
        </is>
      </c>
      <c r="E12" s="39" t="n"/>
      <c r="F12" s="49">
        <f>Salary_Sheet!O7</f>
        <v/>
      </c>
    </row>
    <row r="13">
      <c r="A13" s="39" t="inlineStr">
        <is>
          <t>মোবাইল ও অন্যান্য ভাতা</t>
        </is>
      </c>
      <c r="B13" s="39" t="n"/>
      <c r="C13" s="49">
        <f>Salary_Sheet!K7</f>
        <v/>
      </c>
      <c r="D13" s="39" t="inlineStr">
        <is>
          <t>অন্যান্য কর্তন</t>
        </is>
      </c>
      <c r="E13" s="39" t="n"/>
      <c r="F13" s="49" t="inlineStr">
        <is>
          <t>0</t>
        </is>
      </c>
    </row>
    <row r="14">
      <c r="A14" s="36" t="inlineStr">
        <is>
          <t>মোট উপার্জন (Gross Earnings):</t>
        </is>
      </c>
      <c r="C14" s="50">
        <f>SUM(C9:C13)</f>
        <v/>
      </c>
      <c r="D14" s="36" t="inlineStr">
        <is>
          <t>মোট কর্তন (Total Deductions):</t>
        </is>
      </c>
      <c r="F14" s="51">
        <f>SUM(F9:F13)</f>
        <v/>
      </c>
    </row>
    <row r="16">
      <c r="A16" s="52" t="inlineStr">
        <is>
          <t>নিট প্রদেয় বেতন (Net Payable Amount):</t>
        </is>
      </c>
      <c r="B16" s="43" t="n"/>
      <c r="C16" s="43" t="n"/>
      <c r="D16" s="43" t="n"/>
      <c r="E16" s="53">
        <f>C14-F14</f>
        <v/>
      </c>
      <c r="F16" s="43" t="n"/>
    </row>
    <row r="19">
      <c r="A19" s="32" t="inlineStr">
        <is>
          <t>--------------------------------------
কর্মচারীর স্বাক্ষর</t>
        </is>
      </c>
      <c r="E19" s="32" t="inlineStr">
        <is>
          <t>--------------------------------------
হিসাব কর্মকর্তার স্বাক্ষর</t>
        </is>
      </c>
    </row>
  </sheetData>
  <mergeCells count="18">
    <mergeCell ref="A2:F2"/>
    <mergeCell ref="D10:E10"/>
    <mergeCell ref="E16:F16"/>
    <mergeCell ref="D11:E11"/>
    <mergeCell ref="A8:C8"/>
    <mergeCell ref="A1:F1"/>
    <mergeCell ref="A10:B10"/>
    <mergeCell ref="A11:B11"/>
    <mergeCell ref="D13:E13"/>
    <mergeCell ref="A13:B13"/>
    <mergeCell ref="A14:B14"/>
    <mergeCell ref="D14:E14"/>
    <mergeCell ref="A16:D16"/>
    <mergeCell ref="A9:B9"/>
    <mergeCell ref="D8:F8"/>
    <mergeCell ref="D9:E9"/>
    <mergeCell ref="D12:E1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4" t="inlineStr">
        <is>
          <t>এনজিও স্যালারি শিট টেমপ্লেট ব্যবহার বিধি ও ফর্মুলা গাইড</t>
        </is>
      </c>
    </row>
    <row r="2">
      <c r="A2" s="46" t="inlineStr"/>
    </row>
    <row r="3">
      <c r="A3" s="37" t="inlineStr">
        <is>
          <t>১. এই এক্সেল ফাইলে ব্যবহৃত স্বয়ংক্রিয় ফর্মুলাসমূহ:</t>
        </is>
      </c>
    </row>
    <row r="4">
      <c r="A4" s="46" t="inlineStr">
        <is>
          <t xml:space="preserve"> • বাড়ি ভাড়া (House Rent): =ROUND(G7*0.5, 0) -&gt; মূল বেতনের ৫০% স্বয়ংক্রিয়ভাবে হিসাব হবে।</t>
        </is>
      </c>
    </row>
    <row r="5">
      <c r="A5" s="46" t="inlineStr">
        <is>
          <t xml:space="preserve"> • মোট গ্রস বেতন (Gross Salary): =SUM(G7:K7) -&gt; Basic থেকে অন্যান্য ভাতার যোগফল।</t>
        </is>
      </c>
    </row>
    <row r="6">
      <c r="A6" s="46" t="inlineStr">
        <is>
          <t xml:space="preserve"> • বিনা বেতনে ছুটি কর্তন (LWP): =ROUND((L7/M7)*N7, 0) -&gt; (গ্রস বেতন ÷ মোট দিন) × ছুটির দিন।</t>
        </is>
      </c>
    </row>
    <row r="7">
      <c r="A7" s="46" t="inlineStr">
        <is>
          <t xml:space="preserve"> • প্রভিডেন্ট ফান্ড (PF): =ROUND(G7*0.1, 0) -&gt; মূল বেতনের ১০% কর্তন।</t>
        </is>
      </c>
    </row>
    <row r="8">
      <c r="A8" s="46" t="inlineStr">
        <is>
          <t xml:space="preserve"> • মোট কর্তন (Total Deductions): =SUM(O7:R7) -&gt; সকল কর্তনের যোগফল।</t>
        </is>
      </c>
    </row>
    <row r="9">
      <c r="A9" s="46" t="inlineStr">
        <is>
          <t xml:space="preserve"> • নিট প্রদেয় বেতন (Net Payable): =L7-S7 -&gt; মোট গ্রস বেতন থেকে মোট কর্তন বাদ।</t>
        </is>
      </c>
    </row>
    <row r="10">
      <c r="A10" s="46" t="inlineStr"/>
    </row>
    <row r="11">
      <c r="A11" s="37" t="inlineStr">
        <is>
          <t>২. নতুন কর্মচারী যুক্ত করার নিয়ম:</t>
        </is>
      </c>
    </row>
    <row r="12">
      <c r="A12" s="46" t="inlineStr">
        <is>
          <t xml:space="preserve"> • ৮ নম্বর কর্মচারীর নিচের সারিতে নতুন সারি (Row) ইনসার্ট করুন।</t>
        </is>
      </c>
    </row>
    <row r="13">
      <c r="A13" s="46" t="inlineStr">
        <is>
          <t xml:space="preserve"> • উপরের সারির ফর্মুলাগুলো (কলাম H, L, O, P, S, T) নতুন সারিতে টেনে ড্র্যাগ (Copy/Drag) করে নামিয়ে দিন।</t>
        </is>
      </c>
    </row>
    <row r="14">
      <c r="A14" s="46" t="inlineStr">
        <is>
          <t xml:space="preserve"> • Grand Total স্বয়ংক্রিয়ভাবে নতুন কর্মচারীর বেতন সহ আপডেট হয়ে যাবে।</t>
        </is>
      </c>
    </row>
    <row r="15">
      <c r="A15" s="46" t="inlineStr"/>
    </row>
    <row r="16">
      <c r="A16" s="37" t="inlineStr">
        <is>
          <t>৩. অন্যান্য শিটের সাথে লিঙ্ক:</t>
        </is>
      </c>
    </row>
    <row r="17">
      <c r="A17" s="46" t="inlineStr">
        <is>
          <t xml:space="preserve"> • 'Bank_Advice_Letter' শিটটি মূল স্যালারি শিটের সাথে সরাসরি লিঙ্ক করা। স্যালারি শিটে কোনো পরিবর্তন আনলে ব্যাংক চিঠিতেও স্বয়ংক্রিয়ভাবে পরিবর্তন হয়ে যাবে।</t>
        </is>
      </c>
    </row>
    <row r="18">
      <c r="A18" s="46" t="inlineStr">
        <is>
          <t xml:space="preserve"> • 'Individual_Pay_Slip' শিটটি কোনো নির্দিষ্ট কর্মীর পে-স্লিপ প্রিন্ট করার জন্য ব্যবহার করতে পারেন।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2026-10-15T06:51:05Z</dcterms:created>
  <dcterms:modified xsi:type="dcterms:W3CDTF">2026-10-15T06:51:05Z</dcterms:modified>
</cp:coreProperties>
</file>